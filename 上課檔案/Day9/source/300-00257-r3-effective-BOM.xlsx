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0-00257-r3-effective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<sst xmlns="http://schemas.openxmlformats.org/spreadsheetml/2006/main" count="274" uniqueCount="130">
  <si>
    <t>Level</t>
  </si>
  <si>
    <t>Item Number</t>
  </si>
  <si>
    <t>Revision</t>
  </si>
  <si>
    <t>Revision Status</t>
  </si>
  <si>
    <t>Approved</t>
  </si>
  <si>
    <t>Phase</t>
  </si>
  <si>
    <t>Owner</t>
  </si>
  <si>
    <t>Quantity</t>
  </si>
  <si>
    <t>Reference</t>
  </si>
  <si>
    <t>Notes</t>
  </si>
  <si>
    <t>Item Name</t>
  </si>
  <si>
    <t>Category</t>
  </si>
  <si>
    <t>IC Type</t>
  </si>
  <si>
    <t>PCB Footprint</t>
  </si>
  <si>
    <t>Manufacturer 1</t>
  </si>
  <si>
    <t>Manufacturer 1 item number</t>
  </si>
  <si>
    <t>Manufacturer 1 item name</t>
  </si>
  <si>
    <t>Manufacturer 2</t>
  </si>
  <si>
    <t>Manufacturer 2 item number</t>
  </si>
  <si>
    <t>Manufacturer 2 item name</t>
  </si>
  <si>
    <t>Manufacturer 3</t>
  </si>
  <si>
    <t>Manufacturer 3 item number</t>
  </si>
  <si>
    <t>Manufacturer 3 item name</t>
  </si>
  <si>
    <t>302-00231</t>
  </si>
  <si>
    <t>Effective</t>
  </si>
  <si>
    <t>In Production</t>
  </si>
  <si>
    <t>Wayne Sun</t>
  </si>
  <si>
    <t>airFiber Lite Dish assembly</t>
  </si>
  <si>
    <t>ME Product Assembly</t>
  </si>
  <si>
    <t>Foxconn</t>
  </si>
  <si>
    <t>311-00515</t>
  </si>
  <si>
    <t>Gerardo Huerta</t>
  </si>
  <si>
    <t>Rocket Mount</t>
  </si>
  <si>
    <t>Injection Mold</t>
  </si>
  <si>
    <t>HUNG TA PLASTIC CO., LTD</t>
  </si>
  <si>
    <t>311-00720</t>
  </si>
  <si>
    <t>radome AF-5G23</t>
  </si>
  <si>
    <t>311-00721</t>
  </si>
  <si>
    <t>subreflector support AF-5G23</t>
  </si>
  <si>
    <t>312-00094</t>
  </si>
  <si>
    <t>subreflector bottom AF-5G23</t>
  </si>
  <si>
    <t>Die Cast</t>
  </si>
  <si>
    <t>312-00095</t>
  </si>
  <si>
    <t>subreflector top AF-5G23</t>
  </si>
  <si>
    <t>313-00031</t>
  </si>
  <si>
    <t>Bubble lever holder</t>
  </si>
  <si>
    <t>Formed Sheetmetal</t>
  </si>
  <si>
    <t>CHAMPION PRO TECHNOLOGY COMPANY LIMITED</t>
  </si>
  <si>
    <t>313-00031-02</t>
  </si>
  <si>
    <t>313-00308</t>
  </si>
  <si>
    <t>378mm Dish reflector of AF-5G23</t>
  </si>
  <si>
    <t>313-00309</t>
  </si>
  <si>
    <t>Support bracket AF-5G23</t>
  </si>
  <si>
    <t>313-00310</t>
  </si>
  <si>
    <t>OMT base plate AF-5G23</t>
  </si>
  <si>
    <t>313-00311</t>
  </si>
  <si>
    <t>OMT probe AF-5G23</t>
  </si>
  <si>
    <t>315-00034</t>
  </si>
  <si>
    <t>wave guide tube AF-5G23</t>
  </si>
  <si>
    <t>Machined Part</t>
  </si>
  <si>
    <t>321-00269</t>
  </si>
  <si>
    <t>M4X10 flange hex head cap screw</t>
  </si>
  <si>
    <t>Screw/Bolt</t>
  </si>
  <si>
    <t>321-00273</t>
  </si>
  <si>
    <t>M4X12 Flat Head Slotted Machine Screws Nylon</t>
  </si>
  <si>
    <t>Dongguan Quan Chen Hardware Technology Co.,Ltd.</t>
  </si>
  <si>
    <t>321-00273-01</t>
  </si>
  <si>
    <t>321-00686</t>
  </si>
  <si>
    <t>Gururaj Pare (Arena)</t>
  </si>
  <si>
    <t>M4X16 Pan Head Machine Screw Stainless Steel</t>
  </si>
  <si>
    <t>321-00712</t>
  </si>
  <si>
    <t>M2X4 Flat Head Machine Screw Stainless Steel</t>
  </si>
  <si>
    <t>321-00751</t>
  </si>
  <si>
    <t>M3X10 Flat Head Machine Screw Stainless Steel</t>
  </si>
  <si>
    <t>321-00797</t>
  </si>
  <si>
    <t>M4X16 Flat Head Machine Screw Stainless Steel</t>
  </si>
  <si>
    <t>324-00017</t>
  </si>
  <si>
    <t>seal O-ring AF-5G23 OMT</t>
  </si>
  <si>
    <t>Seal</t>
  </si>
  <si>
    <t>327-00036</t>
  </si>
  <si>
    <t>Bubble lever Dia 6mm Length 20mm</t>
  </si>
  <si>
    <t>Mechanical OTS Part</t>
  </si>
  <si>
    <t>富發</t>
  </si>
  <si>
    <t>327-00036-01</t>
  </si>
  <si>
    <t>Dongguan Hongyao Electronic Technology Co., Ltd</t>
  </si>
  <si>
    <t>327-00134</t>
  </si>
  <si>
    <t>cable with two connectors for AF-5G23</t>
  </si>
  <si>
    <t>Electro-Mechanical Part</t>
  </si>
  <si>
    <t>327-00135</t>
  </si>
  <si>
    <t>4mm rivet for AF-5G23</t>
  </si>
  <si>
    <t>303-00106</t>
  </si>
  <si>
    <t>Mounting accessories AF-5G23</t>
  </si>
  <si>
    <t>ME Loose Parts/Kits</t>
  </si>
  <si>
    <t>311-00723</t>
  </si>
  <si>
    <t>Rocket shroud AF-5G23</t>
  </si>
  <si>
    <t>313-00313</t>
  </si>
  <si>
    <t>M mounting bracket AF-5G23</t>
  </si>
  <si>
    <t>313-00314</t>
  </si>
  <si>
    <t>Pole bracket AF-5G23</t>
  </si>
  <si>
    <t>321-00270</t>
  </si>
  <si>
    <t>M8 U-bolt AF-5G23</t>
  </si>
  <si>
    <t>321-00280</t>
  </si>
  <si>
    <t>M8X20 bolt with washer and split lock GEOMET</t>
  </si>
  <si>
    <t>LITE-ON Singapore Pte Ltd.</t>
  </si>
  <si>
    <t>322-00013</t>
  </si>
  <si>
    <t>Shawn Chen</t>
  </si>
  <si>
    <t>M8 Flange Nut Geomet coating</t>
  </si>
  <si>
    <t>Nut / Stand-Off</t>
  </si>
  <si>
    <t>322-00982</t>
  </si>
  <si>
    <t>M8 Hex Nut Geomet</t>
  </si>
  <si>
    <t>TONG DA GENERAL HOLDINGS (H.K.) LIMITED</t>
  </si>
  <si>
    <t>322-00982-01</t>
  </si>
  <si>
    <t>327-00140</t>
  </si>
  <si>
    <t>cable tie width 4mm length 100mm</t>
  </si>
  <si>
    <t>388-00095</t>
  </si>
  <si>
    <t>Addison Su</t>
  </si>
  <si>
    <t>Artwork for 300-00257</t>
  </si>
  <si>
    <t>Artwork for Product</t>
  </si>
  <si>
    <t>Total</t>
  </si>
  <si>
    <t>Item Export</t>
  </si>
  <si>
    <t>Run by:</t>
  </si>
  <si>
    <t>Name: Aimee Chen</t>
  </si>
  <si>
    <t>Email: aimee.chen@ui.com</t>
  </si>
  <si>
    <t>Workspace: Material Portal</t>
  </si>
  <si>
    <t>Date (UTC): May 01, 2025 12:06:04</t>
  </si>
  <si>
    <t>Run Description:</t>
  </si>
  <si>
    <t>Item Number: 300-00257</t>
  </si>
  <si>
    <t>Revision: 3</t>
  </si>
  <si>
    <t>Item Name: airFiber Dish Antenna Lite, 45 degree, 5GHz, 23dB</t>
  </si>
  <si>
    <t>All information contained in this document is proprietary and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</si>
</sst>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u/>
      <color rgb="FF0000FF"/>
    </font>
    <font/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OM" displayName="BOM" ref="A1:W34" totalsRowCount="1" headerRowCount="1">
  <autoFilter ref="A1:W33">
    <filterColumn colId="0" hiddenButton="1"/>
    <filterColumn colId="1" hiddenButton="0"/>
    <filterColumn colId="2" hiddenButton="1"/>
    <filterColumn colId="3" hiddenButton="0"/>
    <filterColumn colId="4" hiddenButton="0"/>
    <filterColumn colId="5" hiddenButton="0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0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Level" totalsRowLabel="Total" totalsRowFunction="none"/>
    <tableColumn id="2" name="Item Number" totalsRowFunction="count"/>
    <tableColumn id="3" name="Revision" totalsRowFunction="none"/>
    <tableColumn id="4" name="Revision Status" totalsRowFunction="none"/>
    <tableColumn id="5" name="Approved" totalsRowFunction="none"/>
    <tableColumn id="6" name="Phase" totalsRowFunction="none"/>
    <tableColumn id="7" name="Owner" totalsRowFunction="none"/>
    <tableColumn id="8" name="Quantity" totalsRowFunction="sum"/>
    <tableColumn id="9" name="Reference" totalsRowFunction="none"/>
    <tableColumn id="10" name="Notes" totalsRowFunction="none"/>
    <tableColumn id="11" name="Item Name" totalsRowFunction="none"/>
    <tableColumn id="12" name="Category" totalsRowFunction="none"/>
    <tableColumn id="13" name="IC Type" totalsRowFunction="none"/>
    <tableColumn id="14" name="PCB Footprint" totalsRowFunction="none"/>
    <tableColumn id="15" name="Manufacturer 1" totalsRowFunction="none"/>
    <tableColumn id="16" name="Manufacturer 1 item number" totalsRowFunction="none"/>
    <tableColumn id="17" name="Manufacturer 1 item name" totalsRowFunction="none"/>
    <tableColumn id="18" name="Manufacturer 2" totalsRowFunction="none"/>
    <tableColumn id="19" name="Manufacturer 2 item number" totalsRowFunction="none"/>
    <tableColumn id="20" name="Manufacturer 2 item name" totalsRowFunction="none"/>
    <tableColumn id="21" name="Manufacturer 3" totalsRowFunction="none"/>
    <tableColumn id="22" name="Manufacturer 3 item number" totalsRowFunction="none"/>
    <tableColumn id="23" name="Manufacturer 3 item name" totalsRowFunction="none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terial.ui.com\items\24226" TargetMode="External"/><Relationship Id="rId2" Type="http://schemas.openxmlformats.org/officeDocument/2006/relationships/hyperlink" Target="https://material.ui.com\items\20435" TargetMode="External"/><Relationship Id="rId3" Type="http://schemas.openxmlformats.org/officeDocument/2006/relationships/hyperlink" Target="https://material.ui.com\items\13858" TargetMode="External"/><Relationship Id="rId4" Type="http://schemas.openxmlformats.org/officeDocument/2006/relationships/hyperlink" Target="https://material.ui.com\items\13854" TargetMode="External"/><Relationship Id="rId5" Type="http://schemas.openxmlformats.org/officeDocument/2006/relationships/hyperlink" Target="https://material.ui.com\items\25112" TargetMode="External"/><Relationship Id="rId6" Type="http://schemas.openxmlformats.org/officeDocument/2006/relationships/hyperlink" Target="https://material.ui.com\items\16479" TargetMode="External"/><Relationship Id="rId7" Type="http://schemas.openxmlformats.org/officeDocument/2006/relationships/hyperlink" Target="https://material.ui.com\items\20465" TargetMode="External"/><Relationship Id="rId8" Type="http://schemas.openxmlformats.org/officeDocument/2006/relationships/hyperlink" Target="https://material.ui.com\items\19931" TargetMode="External"/><Relationship Id="rId9" Type="http://schemas.openxmlformats.org/officeDocument/2006/relationships/hyperlink" Target="https://material.ui.com\items\25115" TargetMode="External"/><Relationship Id="rId10" Type="http://schemas.openxmlformats.org/officeDocument/2006/relationships/hyperlink" Target="https://material.ui.com\items\18577" TargetMode="External"/><Relationship Id="rId11" Type="http://schemas.openxmlformats.org/officeDocument/2006/relationships/hyperlink" Target="https://material.ui.com\items\15820" TargetMode="External"/><Relationship Id="rId12" Type="http://schemas.openxmlformats.org/officeDocument/2006/relationships/hyperlink" Target="https://material.ui.com\items\18580" TargetMode="External"/><Relationship Id="rId13" Type="http://schemas.openxmlformats.org/officeDocument/2006/relationships/hyperlink" Target="https://material.ui.com\items\19926" TargetMode="External"/><Relationship Id="rId14" Type="http://schemas.openxmlformats.org/officeDocument/2006/relationships/hyperlink" Target="https://material.ui.com\items\22722" TargetMode="External"/><Relationship Id="rId15" Type="http://schemas.openxmlformats.org/officeDocument/2006/relationships/hyperlink" Target="https://material.ui.com\items\15177" TargetMode="External"/><Relationship Id="rId16" Type="http://schemas.openxmlformats.org/officeDocument/2006/relationships/hyperlink" Target="https://material.ui.com\items\22357" TargetMode="External"/><Relationship Id="rId17" Type="http://schemas.openxmlformats.org/officeDocument/2006/relationships/hyperlink" Target="https://material.ui.com\items\294212" TargetMode="External"/><Relationship Id="rId18" Type="http://schemas.openxmlformats.org/officeDocument/2006/relationships/hyperlink" Target="https://material.ui.com\items\26436" TargetMode="External"/><Relationship Id="rId19" Type="http://schemas.openxmlformats.org/officeDocument/2006/relationships/hyperlink" Target="https://material.ui.com\items\26622" TargetMode="External"/><Relationship Id="rId20" Type="http://schemas.openxmlformats.org/officeDocument/2006/relationships/hyperlink" Target="https://material.ui.com\items\13200" TargetMode="External"/><Relationship Id="rId21" Type="http://schemas.openxmlformats.org/officeDocument/2006/relationships/hyperlink" Target="https://material.ui.com\items\310304" TargetMode="External"/><Relationship Id="rId22" Type="http://schemas.openxmlformats.org/officeDocument/2006/relationships/hyperlink" Target="https://material.ui.com\items\26617" TargetMode="External"/><Relationship Id="rId23" Type="http://schemas.openxmlformats.org/officeDocument/2006/relationships/hyperlink" Target="https://material.ui.com\items\15812" TargetMode="External"/><Relationship Id="rId24" Type="http://schemas.openxmlformats.org/officeDocument/2006/relationships/hyperlink" Target="https://material.ui.com\items\19923" TargetMode="External"/><Relationship Id="rId25" Type="http://schemas.openxmlformats.org/officeDocument/2006/relationships/hyperlink" Target="https://material.ui.com\items\17917" TargetMode="External"/><Relationship Id="rId26" Type="http://schemas.openxmlformats.org/officeDocument/2006/relationships/hyperlink" Target="https://material.ui.com\items\17914" TargetMode="External"/><Relationship Id="rId27" Type="http://schemas.openxmlformats.org/officeDocument/2006/relationships/hyperlink" Target="https://material.ui.com\items\24221" TargetMode="External"/><Relationship Id="rId28" Type="http://schemas.openxmlformats.org/officeDocument/2006/relationships/hyperlink" Target="https://material.ui.com\items\2171" TargetMode="External"/><Relationship Id="rId29" Type="http://schemas.openxmlformats.org/officeDocument/2006/relationships/hyperlink" Target="https://material.ui.com\items\77" TargetMode="External"/><Relationship Id="rId30" Type="http://schemas.openxmlformats.org/officeDocument/2006/relationships/hyperlink" Target="https://material.ui.com\items\89786" TargetMode="External"/><Relationship Id="rId31" Type="http://schemas.openxmlformats.org/officeDocument/2006/relationships/hyperlink" Target="https://material.ui.com\items\25090" TargetMode="External"/><Relationship Id="rId32" Type="http://schemas.openxmlformats.org/officeDocument/2006/relationships/hyperlink" Target="https://material.ui.com\items\312649" TargetMode="External"/><Relationship Id="rId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style="1" customWidth="1"/>
    <col min="2" max="2" width="15" style="2" customWidth="1"/>
    <col min="3" max="3" width="10" style="1" customWidth="1"/>
    <col min="4" max="4" width="15" style="3" customWidth="1"/>
    <col min="5" max="5" width="10" style="3" customWidth="1"/>
    <col min="6" max="6" width="15" style="3" customWidth="1"/>
    <col min="7" max="7" width="20" style="3" customWidth="1"/>
    <col min="8" max="8" width="10" style="1" customWidth="1"/>
    <col min="9" max="10" width="15" style="3" customWidth="1"/>
    <col min="11" max="11" width="40" style="3" customWidth="1"/>
    <col min="12" max="14" width="15" style="3" customWidth="1"/>
    <col min="15" max="15" width="20" style="3" customWidth="1"/>
    <col min="16" max="16" width="29" style="3" customWidth="1"/>
    <col min="17" max="17" width="27" style="3" customWidth="1"/>
    <col min="18" max="18" width="20" style="3" customWidth="1"/>
    <col min="19" max="19" width="29" style="3" customWidth="1"/>
    <col min="20" max="20" width="27" style="3" customWidth="1"/>
    <col min="21" max="21" width="20" style="3" customWidth="1"/>
    <col min="22" max="22" width="29" style="3" customWidth="1"/>
    <col min="23" max="23" width="27" style="3" customWidth="1"/>
  </cols>
  <sheetData>
    <row r="1" spans="1:23" s="4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s="1">
        <v>1</v>
      </c>
      <c r="B2" s="2" t="s">
        <v>23</v>
      </c>
      <c r="C2" s="1">
        <v>2</v>
      </c>
      <c r="D2" s="3" t="s">
        <v>24</v>
      </c>
      <c r="E2" s="3" t="b">
        <v>0</v>
      </c>
      <c r="F2" s="3" t="s">
        <v>25</v>
      </c>
      <c r="G2" s="3" t="s">
        <v>26</v>
      </c>
      <c r="H2" s="1">
        <v>1</v>
      </c>
      <c r="I2" s="3"/>
      <c r="J2" s="3"/>
      <c r="K2" s="3" t="s">
        <v>27</v>
      </c>
      <c r="L2" s="3" t="s">
        <v>28</v>
      </c>
      <c r="M2" s="3"/>
      <c r="N2" s="3"/>
      <c r="O2" s="3" t="s">
        <v>29</v>
      </c>
      <c r="P2" s="3" t="s">
        <v>23</v>
      </c>
      <c r="Q2" s="3" t="s">
        <v>27</v>
      </c>
      <c r="R2" s="3"/>
      <c r="S2" s="3"/>
      <c r="T2" s="3"/>
      <c r="U2" s="3"/>
      <c r="V2" s="3"/>
      <c r="W2" s="3"/>
    </row>
    <row r="3" spans="1:23" x14ac:dyDescent="0.25">
      <c r="A3" s="1">
        <v>2</v>
      </c>
      <c r="B3" s="2" t="s">
        <v>30</v>
      </c>
      <c r="C3" s="1">
        <v>1</v>
      </c>
      <c r="D3" s="3" t="s">
        <v>24</v>
      </c>
      <c r="E3" s="3" t="b">
        <v>1</v>
      </c>
      <c r="F3" s="3" t="s">
        <v>25</v>
      </c>
      <c r="G3" s="3" t="s">
        <v>31</v>
      </c>
      <c r="H3" s="1">
        <v>1</v>
      </c>
      <c r="I3" s="3"/>
      <c r="J3" s="3"/>
      <c r="K3" s="3" t="s">
        <v>32</v>
      </c>
      <c r="L3" s="3" t="s">
        <v>33</v>
      </c>
      <c r="M3" s="3"/>
      <c r="N3" s="3"/>
      <c r="O3" s="3" t="s">
        <v>34</v>
      </c>
      <c r="P3" s="3" t="s">
        <v>30</v>
      </c>
      <c r="Q3" s="3"/>
      <c r="R3" s="3"/>
      <c r="S3" s="3"/>
      <c r="T3" s="3"/>
      <c r="U3" s="3"/>
      <c r="V3" s="3"/>
      <c r="W3" s="3"/>
    </row>
    <row r="4" spans="1:23" x14ac:dyDescent="0.25">
      <c r="A4" s="1">
        <v>2</v>
      </c>
      <c r="B4" s="2" t="s">
        <v>35</v>
      </c>
      <c r="C4" s="1">
        <v>2</v>
      </c>
      <c r="D4" s="3" t="s">
        <v>24</v>
      </c>
      <c r="E4" s="3" t="b">
        <v>1</v>
      </c>
      <c r="F4" s="3" t="s">
        <v>25</v>
      </c>
      <c r="G4" s="3" t="s">
        <v>26</v>
      </c>
      <c r="H4" s="1">
        <v>1</v>
      </c>
      <c r="I4" s="3"/>
      <c r="J4" s="3"/>
      <c r="K4" s="3" t="s">
        <v>36</v>
      </c>
      <c r="L4" s="3" t="s">
        <v>33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1">
        <v>2</v>
      </c>
      <c r="B5" s="2" t="s">
        <v>37</v>
      </c>
      <c r="C5" s="1">
        <v>1</v>
      </c>
      <c r="D5" s="3" t="s">
        <v>24</v>
      </c>
      <c r="E5" s="3" t="b">
        <v>1</v>
      </c>
      <c r="F5" s="3" t="s">
        <v>25</v>
      </c>
      <c r="G5" s="3" t="s">
        <v>26</v>
      </c>
      <c r="H5" s="1">
        <v>1</v>
      </c>
      <c r="I5" s="3"/>
      <c r="J5" s="3"/>
      <c r="K5" s="3" t="s">
        <v>38</v>
      </c>
      <c r="L5" s="3" t="s">
        <v>33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1">
        <v>2</v>
      </c>
      <c r="B6" s="2" t="s">
        <v>39</v>
      </c>
      <c r="C6" s="1">
        <v>1</v>
      </c>
      <c r="D6" s="3" t="s">
        <v>24</v>
      </c>
      <c r="E6" s="3" t="b">
        <v>1</v>
      </c>
      <c r="F6" s="3" t="s">
        <v>25</v>
      </c>
      <c r="G6" s="3" t="s">
        <v>26</v>
      </c>
      <c r="H6" s="1">
        <v>1</v>
      </c>
      <c r="I6" s="3"/>
      <c r="J6" s="3"/>
      <c r="K6" s="3" t="s">
        <v>40</v>
      </c>
      <c r="L6" s="3" t="s">
        <v>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1">
        <v>2</v>
      </c>
      <c r="B7" s="2" t="s">
        <v>42</v>
      </c>
      <c r="C7" s="1">
        <v>1</v>
      </c>
      <c r="D7" s="3" t="s">
        <v>24</v>
      </c>
      <c r="E7" s="3" t="b">
        <v>1</v>
      </c>
      <c r="F7" s="3" t="s">
        <v>25</v>
      </c>
      <c r="G7" s="3" t="s">
        <v>26</v>
      </c>
      <c r="H7" s="1">
        <v>1</v>
      </c>
      <c r="I7" s="3"/>
      <c r="J7" s="3"/>
      <c r="K7" s="3" t="s">
        <v>43</v>
      </c>
      <c r="L7" s="3" t="s">
        <v>41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1">
        <v>2</v>
      </c>
      <c r="B8" s="2" t="s">
        <v>44</v>
      </c>
      <c r="C8" s="1">
        <v>2</v>
      </c>
      <c r="D8" s="3" t="s">
        <v>24</v>
      </c>
      <c r="E8" s="3" t="b">
        <v>1</v>
      </c>
      <c r="F8" s="3" t="s">
        <v>25</v>
      </c>
      <c r="G8" s="3" t="s">
        <v>26</v>
      </c>
      <c r="H8" s="1">
        <v>1</v>
      </c>
      <c r="I8" s="3"/>
      <c r="J8" s="3"/>
      <c r="K8" s="3" t="s">
        <v>45</v>
      </c>
      <c r="L8" s="3" t="s">
        <v>46</v>
      </c>
      <c r="M8" s="3"/>
      <c r="N8" s="3"/>
      <c r="O8" s="3" t="s">
        <v>47</v>
      </c>
      <c r="P8" s="3" t="s">
        <v>48</v>
      </c>
      <c r="Q8" s="3" t="s">
        <v>48</v>
      </c>
      <c r="R8" s="3" t="s">
        <v>47</v>
      </c>
      <c r="S8" s="3" t="s">
        <v>48</v>
      </c>
      <c r="T8" s="3" t="s">
        <v>48</v>
      </c>
      <c r="U8" s="3"/>
      <c r="V8" s="3"/>
      <c r="W8" s="3"/>
    </row>
    <row r="9" spans="1:23" x14ac:dyDescent="0.25">
      <c r="A9" s="1">
        <v>2</v>
      </c>
      <c r="B9" s="2" t="s">
        <v>49</v>
      </c>
      <c r="C9" s="1">
        <v>1</v>
      </c>
      <c r="D9" s="3" t="s">
        <v>24</v>
      </c>
      <c r="E9" s="3" t="b">
        <v>1</v>
      </c>
      <c r="F9" s="3" t="s">
        <v>25</v>
      </c>
      <c r="G9" s="3" t="s">
        <v>26</v>
      </c>
      <c r="H9" s="1">
        <v>1</v>
      </c>
      <c r="I9" s="3"/>
      <c r="J9" s="3"/>
      <c r="K9" s="3" t="s">
        <v>50</v>
      </c>
      <c r="L9" s="3" t="s">
        <v>46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1">
        <v>2</v>
      </c>
      <c r="B10" s="2" t="s">
        <v>51</v>
      </c>
      <c r="C10" s="1">
        <v>1</v>
      </c>
      <c r="D10" s="3" t="s">
        <v>24</v>
      </c>
      <c r="E10" s="3" t="b">
        <v>1</v>
      </c>
      <c r="F10" s="3" t="s">
        <v>25</v>
      </c>
      <c r="G10" s="3" t="s">
        <v>26</v>
      </c>
      <c r="H10" s="1">
        <v>1</v>
      </c>
      <c r="I10" s="3"/>
      <c r="J10" s="3"/>
      <c r="K10" s="3" t="s">
        <v>52</v>
      </c>
      <c r="L10" s="3" t="s">
        <v>46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1">
        <v>2</v>
      </c>
      <c r="B11" s="2" t="s">
        <v>53</v>
      </c>
      <c r="C11" s="1">
        <v>1</v>
      </c>
      <c r="D11" s="3" t="s">
        <v>24</v>
      </c>
      <c r="E11" s="3" t="b">
        <v>1</v>
      </c>
      <c r="F11" s="3" t="s">
        <v>25</v>
      </c>
      <c r="G11" s="3" t="s">
        <v>26</v>
      </c>
      <c r="H11" s="1">
        <v>1</v>
      </c>
      <c r="I11" s="3"/>
      <c r="J11" s="3"/>
      <c r="K11" s="3" t="s">
        <v>54</v>
      </c>
      <c r="L11" s="3" t="s">
        <v>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1">
        <v>2</v>
      </c>
      <c r="B12" s="2" t="s">
        <v>55</v>
      </c>
      <c r="C12" s="1">
        <v>1</v>
      </c>
      <c r="D12" s="3" t="s">
        <v>24</v>
      </c>
      <c r="E12" s="3" t="b">
        <v>1</v>
      </c>
      <c r="F12" s="3" t="s">
        <v>25</v>
      </c>
      <c r="G12" s="3" t="s">
        <v>26</v>
      </c>
      <c r="H12" s="1">
        <v>1</v>
      </c>
      <c r="I12" s="3"/>
      <c r="J12" s="3"/>
      <c r="K12" s="3" t="s">
        <v>56</v>
      </c>
      <c r="L12" s="3" t="s">
        <v>46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">
        <v>2</v>
      </c>
      <c r="B13" s="2" t="s">
        <v>57</v>
      </c>
      <c r="C13" s="1">
        <v>1</v>
      </c>
      <c r="D13" s="3" t="s">
        <v>24</v>
      </c>
      <c r="E13" s="3" t="b">
        <v>1</v>
      </c>
      <c r="F13" s="3" t="s">
        <v>25</v>
      </c>
      <c r="G13" s="3" t="s">
        <v>26</v>
      </c>
      <c r="H13" s="1">
        <v>1</v>
      </c>
      <c r="I13" s="3"/>
      <c r="J13" s="3"/>
      <c r="K13" s="3" t="s">
        <v>58</v>
      </c>
      <c r="L13" s="3" t="s">
        <v>59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1">
        <v>2</v>
      </c>
      <c r="B14" s="2" t="s">
        <v>60</v>
      </c>
      <c r="C14" s="1">
        <v>1</v>
      </c>
      <c r="D14" s="3" t="s">
        <v>24</v>
      </c>
      <c r="E14" s="3" t="b">
        <v>1</v>
      </c>
      <c r="F14" s="3" t="s">
        <v>25</v>
      </c>
      <c r="G14" s="3" t="s">
        <v>26</v>
      </c>
      <c r="H14" s="1">
        <v>4</v>
      </c>
      <c r="I14" s="3"/>
      <c r="J14" s="3"/>
      <c r="K14" s="3" t="s">
        <v>61</v>
      </c>
      <c r="L14" s="3" t="s">
        <v>62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1">
        <v>2</v>
      </c>
      <c r="B15" s="2" t="s">
        <v>63</v>
      </c>
      <c r="C15" s="1">
        <v>1</v>
      </c>
      <c r="D15" s="3" t="s">
        <v>24</v>
      </c>
      <c r="E15" s="3" t="b">
        <v>1</v>
      </c>
      <c r="F15" s="3" t="s">
        <v>25</v>
      </c>
      <c r="G15" s="3" t="s">
        <v>26</v>
      </c>
      <c r="H15" s="1">
        <v>5</v>
      </c>
      <c r="I15" s="3"/>
      <c r="J15" s="3"/>
      <c r="K15" s="3" t="s">
        <v>64</v>
      </c>
      <c r="L15" s="3" t="s">
        <v>62</v>
      </c>
      <c r="M15" s="3"/>
      <c r="N15" s="3"/>
      <c r="O15" s="3" t="s">
        <v>65</v>
      </c>
      <c r="P15" s="3" t="s">
        <v>66</v>
      </c>
      <c r="Q15" s="3" t="s">
        <v>66</v>
      </c>
      <c r="R15" s="3"/>
      <c r="S15" s="3"/>
      <c r="T15" s="3"/>
      <c r="U15" s="3"/>
      <c r="V15" s="3"/>
      <c r="W15" s="3"/>
    </row>
    <row r="16" spans="1:23" x14ac:dyDescent="0.25">
      <c r="A16" s="1">
        <v>2</v>
      </c>
      <c r="B16" s="2" t="s">
        <v>67</v>
      </c>
      <c r="C16" s="1">
        <v>1</v>
      </c>
      <c r="D16" s="3" t="s">
        <v>24</v>
      </c>
      <c r="E16" s="3" t="b">
        <v>1</v>
      </c>
      <c r="F16" s="3" t="s">
        <v>25</v>
      </c>
      <c r="G16" s="3" t="s">
        <v>68</v>
      </c>
      <c r="H16" s="1">
        <v>5</v>
      </c>
      <c r="I16" s="3"/>
      <c r="J16" s="3"/>
      <c r="K16" s="3" t="s">
        <v>69</v>
      </c>
      <c r="L16" s="3" t="s">
        <v>62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1">
        <v>2</v>
      </c>
      <c r="B17" s="2" t="s">
        <v>70</v>
      </c>
      <c r="C17" s="1">
        <v>1</v>
      </c>
      <c r="D17" s="3" t="s">
        <v>24</v>
      </c>
      <c r="E17" s="3" t="b">
        <v>1</v>
      </c>
      <c r="F17" s="3" t="s">
        <v>25</v>
      </c>
      <c r="G17" s="3" t="s">
        <v>68</v>
      </c>
      <c r="H17" s="1">
        <v>2</v>
      </c>
      <c r="I17" s="3"/>
      <c r="J17" s="3"/>
      <c r="K17" s="3" t="s">
        <v>71</v>
      </c>
      <c r="L17" s="3" t="s">
        <v>62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1">
        <v>2</v>
      </c>
      <c r="B18" s="2" t="s">
        <v>72</v>
      </c>
      <c r="C18" s="1">
        <v>1</v>
      </c>
      <c r="D18" s="3" t="s">
        <v>24</v>
      </c>
      <c r="E18" s="3" t="b">
        <v>1</v>
      </c>
      <c r="F18" s="3" t="s">
        <v>25</v>
      </c>
      <c r="G18" s="3" t="s">
        <v>26</v>
      </c>
      <c r="H18" s="1">
        <v>5</v>
      </c>
      <c r="I18" s="3"/>
      <c r="J18" s="3"/>
      <c r="K18" s="3" t="s">
        <v>73</v>
      </c>
      <c r="L18" s="3" t="s">
        <v>62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1">
        <v>2</v>
      </c>
      <c r="B19" s="2" t="s">
        <v>74</v>
      </c>
      <c r="C19" s="1">
        <v>1</v>
      </c>
      <c r="D19" s="3" t="s">
        <v>24</v>
      </c>
      <c r="E19" s="3" t="b">
        <v>1</v>
      </c>
      <c r="F19" s="3" t="s">
        <v>25</v>
      </c>
      <c r="G19" s="3" t="s">
        <v>68</v>
      </c>
      <c r="H19" s="1">
        <v>5</v>
      </c>
      <c r="I19" s="3"/>
      <c r="J19" s="3"/>
      <c r="K19" s="3" t="s">
        <v>75</v>
      </c>
      <c r="L19" s="3" t="s">
        <v>62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1">
        <v>2</v>
      </c>
      <c r="B20" s="2" t="s">
        <v>76</v>
      </c>
      <c r="C20" s="1">
        <v>1</v>
      </c>
      <c r="D20" s="3" t="s">
        <v>24</v>
      </c>
      <c r="E20" s="3" t="b">
        <v>1</v>
      </c>
      <c r="F20" s="3" t="s">
        <v>25</v>
      </c>
      <c r="G20" s="3" t="s">
        <v>26</v>
      </c>
      <c r="H20" s="1">
        <v>1</v>
      </c>
      <c r="I20" s="3"/>
      <c r="J20" s="3"/>
      <c r="K20" s="3" t="s">
        <v>77</v>
      </c>
      <c r="L20" s="3" t="s">
        <v>78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1">
        <v>2</v>
      </c>
      <c r="B21" s="2" t="s">
        <v>79</v>
      </c>
      <c r="C21" s="1">
        <v>1</v>
      </c>
      <c r="D21" s="3" t="s">
        <v>24</v>
      </c>
      <c r="E21" s="3" t="b">
        <v>1</v>
      </c>
      <c r="F21" s="3" t="s">
        <v>25</v>
      </c>
      <c r="G21" s="3" t="s">
        <v>26</v>
      </c>
      <c r="H21" s="1">
        <v>1</v>
      </c>
      <c r="I21" s="3"/>
      <c r="J21" s="3"/>
      <c r="K21" s="3" t="s">
        <v>80</v>
      </c>
      <c r="L21" s="3" t="s">
        <v>81</v>
      </c>
      <c r="M21" s="3"/>
      <c r="N21" s="3"/>
      <c r="O21" s="3" t="s">
        <v>82</v>
      </c>
      <c r="P21" s="3" t="s">
        <v>83</v>
      </c>
      <c r="Q21" s="3" t="s">
        <v>83</v>
      </c>
      <c r="R21" s="3" t="s">
        <v>84</v>
      </c>
      <c r="S21" s="3" t="s">
        <v>79</v>
      </c>
      <c r="T21" s="3"/>
      <c r="U21" s="3"/>
      <c r="V21" s="3"/>
      <c r="W21" s="3"/>
    </row>
    <row r="22" spans="1:23" x14ac:dyDescent="0.25">
      <c r="A22" s="1">
        <v>2</v>
      </c>
      <c r="B22" s="2" t="s">
        <v>85</v>
      </c>
      <c r="C22" s="1">
        <v>1</v>
      </c>
      <c r="D22" s="3" t="s">
        <v>24</v>
      </c>
      <c r="E22" s="3" t="b">
        <v>1</v>
      </c>
      <c r="F22" s="3" t="s">
        <v>25</v>
      </c>
      <c r="G22" s="3" t="s">
        <v>26</v>
      </c>
      <c r="H22" s="1">
        <v>2</v>
      </c>
      <c r="I22" s="3"/>
      <c r="J22" s="3"/>
      <c r="K22" s="3" t="s">
        <v>86</v>
      </c>
      <c r="L22" s="3" t="s">
        <v>87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1">
        <v>2</v>
      </c>
      <c r="B23" s="2" t="s">
        <v>88</v>
      </c>
      <c r="C23" s="1">
        <v>1</v>
      </c>
      <c r="D23" s="3" t="s">
        <v>24</v>
      </c>
      <c r="E23" s="3" t="b">
        <v>1</v>
      </c>
      <c r="F23" s="3" t="s">
        <v>25</v>
      </c>
      <c r="G23" s="3" t="s">
        <v>26</v>
      </c>
      <c r="H23" s="1">
        <v>16</v>
      </c>
      <c r="I23" s="3"/>
      <c r="J23" s="3"/>
      <c r="K23" s="3" t="s">
        <v>89</v>
      </c>
      <c r="L23" s="3" t="s">
        <v>81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1">
        <v>1</v>
      </c>
      <c r="B24" s="2" t="s">
        <v>90</v>
      </c>
      <c r="C24" s="1">
        <v>1</v>
      </c>
      <c r="D24" s="3" t="s">
        <v>24</v>
      </c>
      <c r="E24" s="3" t="b">
        <v>1</v>
      </c>
      <c r="F24" s="3" t="s">
        <v>25</v>
      </c>
      <c r="G24" s="3" t="s">
        <v>26</v>
      </c>
      <c r="H24" s="1">
        <v>1</v>
      </c>
      <c r="I24" s="3"/>
      <c r="J24" s="3"/>
      <c r="K24" s="3" t="s">
        <v>91</v>
      </c>
      <c r="L24" s="3" t="s">
        <v>92</v>
      </c>
      <c r="M24" s="3"/>
      <c r="N24" s="3"/>
      <c r="O24" s="3" t="s">
        <v>29</v>
      </c>
      <c r="P24" s="3" t="s">
        <v>90</v>
      </c>
      <c r="Q24" s="3" t="s">
        <v>91</v>
      </c>
      <c r="R24" s="3"/>
      <c r="S24" s="3"/>
      <c r="T24" s="3"/>
      <c r="U24" s="3"/>
      <c r="V24" s="3"/>
      <c r="W24" s="3"/>
    </row>
    <row r="25" spans="1:23" x14ac:dyDescent="0.25">
      <c r="A25" s="1">
        <v>2</v>
      </c>
      <c r="B25" s="2" t="s">
        <v>93</v>
      </c>
      <c r="C25" s="1">
        <v>1</v>
      </c>
      <c r="D25" s="3" t="s">
        <v>24</v>
      </c>
      <c r="E25" s="3" t="b">
        <v>1</v>
      </c>
      <c r="F25" s="3" t="s">
        <v>25</v>
      </c>
      <c r="G25" s="3" t="s">
        <v>26</v>
      </c>
      <c r="H25" s="1">
        <v>1</v>
      </c>
      <c r="I25" s="3"/>
      <c r="J25" s="3"/>
      <c r="K25" s="3" t="s">
        <v>94</v>
      </c>
      <c r="L25" s="3" t="s">
        <v>33</v>
      </c>
      <c r="M25" s="3"/>
      <c r="N25" s="3"/>
      <c r="O25" s="3" t="s">
        <v>34</v>
      </c>
      <c r="P25" s="3" t="s">
        <v>93</v>
      </c>
      <c r="Q25" s="3"/>
      <c r="R25" s="3"/>
      <c r="S25" s="3"/>
      <c r="T25" s="3"/>
      <c r="U25" s="3"/>
      <c r="V25" s="3"/>
      <c r="W25" s="3"/>
    </row>
    <row r="26" spans="1:23" x14ac:dyDescent="0.25">
      <c r="A26" s="1">
        <v>2</v>
      </c>
      <c r="B26" s="2" t="s">
        <v>95</v>
      </c>
      <c r="C26" s="1">
        <v>1</v>
      </c>
      <c r="D26" s="3" t="s">
        <v>24</v>
      </c>
      <c r="E26" s="3" t="b">
        <v>1</v>
      </c>
      <c r="F26" s="3" t="s">
        <v>25</v>
      </c>
      <c r="G26" s="3" t="s">
        <v>26</v>
      </c>
      <c r="H26" s="1">
        <v>1</v>
      </c>
      <c r="I26" s="3"/>
      <c r="J26" s="3"/>
      <c r="K26" s="3" t="s">
        <v>96</v>
      </c>
      <c r="L26" s="3" t="s">
        <v>46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1">
        <v>2</v>
      </c>
      <c r="B27" s="2" t="s">
        <v>97</v>
      </c>
      <c r="C27" s="1">
        <v>1</v>
      </c>
      <c r="D27" s="3" t="s">
        <v>24</v>
      </c>
      <c r="E27" s="3" t="b">
        <v>1</v>
      </c>
      <c r="F27" s="3" t="s">
        <v>25</v>
      </c>
      <c r="G27" s="3" t="s">
        <v>26</v>
      </c>
      <c r="H27" s="1">
        <v>1</v>
      </c>
      <c r="I27" s="3"/>
      <c r="J27" s="3"/>
      <c r="K27" s="3" t="s">
        <v>98</v>
      </c>
      <c r="L27" s="3" t="s">
        <v>46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1">
        <v>2</v>
      </c>
      <c r="B28" s="2" t="s">
        <v>99</v>
      </c>
      <c r="C28" s="1">
        <v>1</v>
      </c>
      <c r="D28" s="3" t="s">
        <v>24</v>
      </c>
      <c r="E28" s="3" t="b">
        <v>1</v>
      </c>
      <c r="F28" s="3" t="s">
        <v>25</v>
      </c>
      <c r="G28" s="3" t="s">
        <v>26</v>
      </c>
      <c r="H28" s="1">
        <v>1</v>
      </c>
      <c r="I28" s="3"/>
      <c r="J28" s="3"/>
      <c r="K28" s="3" t="s">
        <v>100</v>
      </c>
      <c r="L28" s="3" t="s">
        <v>62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1">
        <v>2</v>
      </c>
      <c r="B29" s="2" t="s">
        <v>101</v>
      </c>
      <c r="C29" s="1">
        <v>1</v>
      </c>
      <c r="D29" s="3" t="s">
        <v>24</v>
      </c>
      <c r="E29" s="3" t="b">
        <v>1</v>
      </c>
      <c r="F29" s="3" t="s">
        <v>25</v>
      </c>
      <c r="G29" s="3" t="s">
        <v>26</v>
      </c>
      <c r="H29" s="1">
        <v>4</v>
      </c>
      <c r="I29" s="3"/>
      <c r="J29" s="3"/>
      <c r="K29" s="3" t="s">
        <v>102</v>
      </c>
      <c r="L29" s="3" t="s">
        <v>62</v>
      </c>
      <c r="M29" s="3"/>
      <c r="N29" s="3"/>
      <c r="O29" s="3" t="s">
        <v>29</v>
      </c>
      <c r="P29" s="3" t="s">
        <v>101</v>
      </c>
      <c r="Q29" s="3" t="s">
        <v>102</v>
      </c>
      <c r="R29" s="3" t="s">
        <v>103</v>
      </c>
      <c r="S29" s="3" t="s">
        <v>101</v>
      </c>
      <c r="T29" s="3" t="s">
        <v>102</v>
      </c>
      <c r="U29" s="3"/>
      <c r="V29" s="3"/>
      <c r="W29" s="3"/>
    </row>
    <row r="30" spans="1:23" x14ac:dyDescent="0.25">
      <c r="A30" s="1">
        <v>2</v>
      </c>
      <c r="B30" s="2" t="s">
        <v>104</v>
      </c>
      <c r="C30" s="1">
        <v>1</v>
      </c>
      <c r="D30" s="3" t="s">
        <v>24</v>
      </c>
      <c r="E30" s="3" t="b">
        <v>1</v>
      </c>
      <c r="F30" s="3" t="s">
        <v>25</v>
      </c>
      <c r="G30" s="3" t="s">
        <v>105</v>
      </c>
      <c r="H30" s="1">
        <v>2</v>
      </c>
      <c r="I30" s="3"/>
      <c r="J30" s="3"/>
      <c r="K30" s="3" t="s">
        <v>106</v>
      </c>
      <c r="L30" s="3" t="s">
        <v>107</v>
      </c>
      <c r="M30" s="3"/>
      <c r="N30" s="3"/>
      <c r="O30" s="3" t="s">
        <v>65</v>
      </c>
      <c r="P30" s="3" t="s">
        <v>104</v>
      </c>
      <c r="Q30" s="3"/>
      <c r="R30" s="3" t="s">
        <v>29</v>
      </c>
      <c r="S30" s="3" t="s">
        <v>104</v>
      </c>
      <c r="T30" s="3" t="s">
        <v>106</v>
      </c>
      <c r="U30" s="3" t="s">
        <v>103</v>
      </c>
      <c r="V30" s="3" t="s">
        <v>104</v>
      </c>
      <c r="W30" s="3" t="s">
        <v>106</v>
      </c>
    </row>
    <row r="31" spans="1:23" x14ac:dyDescent="0.25">
      <c r="A31" s="1">
        <v>2</v>
      </c>
      <c r="B31" s="2" t="s">
        <v>108</v>
      </c>
      <c r="C31" s="1">
        <v>1</v>
      </c>
      <c r="D31" s="3" t="s">
        <v>24</v>
      </c>
      <c r="E31" s="3" t="b">
        <v>1</v>
      </c>
      <c r="F31" s="3" t="s">
        <v>25</v>
      </c>
      <c r="G31" s="3" t="s">
        <v>68</v>
      </c>
      <c r="H31" s="1">
        <v>2</v>
      </c>
      <c r="I31" s="3"/>
      <c r="J31" s="3"/>
      <c r="K31" s="3" t="s">
        <v>109</v>
      </c>
      <c r="L31" s="3" t="s">
        <v>107</v>
      </c>
      <c r="M31" s="3"/>
      <c r="N31" s="3"/>
      <c r="O31" s="3" t="s">
        <v>110</v>
      </c>
      <c r="P31" s="3" t="s">
        <v>111</v>
      </c>
      <c r="Q31" s="3" t="s">
        <v>111</v>
      </c>
      <c r="R31" s="3" t="s">
        <v>65</v>
      </c>
      <c r="S31" s="3" t="s">
        <v>111</v>
      </c>
      <c r="T31" s="3" t="s">
        <v>111</v>
      </c>
      <c r="U31" s="3"/>
      <c r="V31" s="3"/>
      <c r="W31" s="3"/>
    </row>
    <row r="32" spans="1:23" x14ac:dyDescent="0.25">
      <c r="A32" s="1">
        <v>2</v>
      </c>
      <c r="B32" s="2" t="s">
        <v>112</v>
      </c>
      <c r="C32" s="1">
        <v>1</v>
      </c>
      <c r="D32" s="3" t="s">
        <v>24</v>
      </c>
      <c r="E32" s="3" t="b">
        <v>1</v>
      </c>
      <c r="F32" s="3" t="s">
        <v>25</v>
      </c>
      <c r="G32" s="3" t="s">
        <v>26</v>
      </c>
      <c r="H32" s="1">
        <v>1</v>
      </c>
      <c r="I32" s="3"/>
      <c r="J32" s="3"/>
      <c r="K32" s="3" t="s">
        <v>113</v>
      </c>
      <c r="L32" s="3" t="s">
        <v>81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1">
        <v>1</v>
      </c>
      <c r="B33" s="2" t="s">
        <v>114</v>
      </c>
      <c r="C33" s="1">
        <v>2</v>
      </c>
      <c r="D33" s="3" t="s">
        <v>24</v>
      </c>
      <c r="E33" s="3" t="b">
        <v>1</v>
      </c>
      <c r="F33" s="3" t="s">
        <v>25</v>
      </c>
      <c r="G33" s="3" t="s">
        <v>115</v>
      </c>
      <c r="H33" s="1">
        <v>1</v>
      </c>
      <c r="I33" s="3"/>
      <c r="J33" s="3"/>
      <c r="K33" s="3" t="s">
        <v>116</v>
      </c>
      <c r="L33" s="3" t="s">
        <v>117</v>
      </c>
      <c r="M33" s="3"/>
      <c r="N33" s="3"/>
      <c r="O33" s="3" t="s">
        <v>29</v>
      </c>
      <c r="P33" s="3" t="s">
        <v>114</v>
      </c>
      <c r="Q33" s="3" t="s">
        <v>116</v>
      </c>
      <c r="R33" s="3"/>
      <c r="S33" s="3"/>
      <c r="T33" s="3"/>
      <c r="U33" s="3"/>
      <c r="V33" s="3"/>
      <c r="W33" s="3"/>
    </row>
    <row r="34" spans="1:23" x14ac:dyDescent="0.25">
      <c r="A34" s="1" t="s">
        <v>118</v>
      </c>
      <c r="B34" s="2">
        <f>SUBTOTAL(103,BOM[Item Number])</f>
      </c>
      <c r="C34" s="1"/>
      <c r="D34" s="3"/>
      <c r="E34" s="3"/>
      <c r="F34" s="3"/>
      <c r="G34" s="3"/>
      <c r="H34" s="1">
        <f>SUBTOTAL(109,BOM[Quantity])</f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</hyperlinks>
  <pageMargins left="0.7" right="0.7" top="0.75" bottom="0.75" header="0.3" footer="0.3"/>
  <pageSetup paperSize="9" orientation="landscape" horizontalDpi="4294967295" verticalDpi="4294967295" scale="100" fitToWidth="1" fitToHeight="1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6" t="s">
        <v>119</v>
      </c>
    </row>
    <row r="2" spans="1:1" x14ac:dyDescent="0.25">
      <c r="A2" s="7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s="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2" spans="1:1" x14ac:dyDescent="0.25">
      <c r="A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300-00257-r3-effective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Ubiquiti Inc.</dc:creator>
  <dc:title/>
  <dc:subject/>
  <dc:description/>
  <cp:keywords/>
  <cp:category/>
  <cp:lastModifiedBy>Unknown</cp:lastModifiedBy>
  <dcterms:created xsi:type="dcterms:W3CDTF">2025-05-01T12:06:04Z</dcterms:created>
  <dcterms:modified xsi:type="dcterms:W3CDTF">2025-05-01T12:06:04Z</dcterms:modified>
</cp:coreProperties>
</file>